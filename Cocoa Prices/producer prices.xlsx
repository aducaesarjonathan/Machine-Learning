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 Adu Okyere\Downloads\"/>
    </mc:Choice>
  </mc:AlternateContent>
  <xr:revisionPtr revIDLastSave="0" documentId="13_ncr:1_{C1EA0423-B9F4-4F47-85CC-95D7F1C3EF48}" xr6:coauthVersionLast="36" xr6:coauthVersionMax="47" xr10:uidLastSave="{00000000-0000-0000-0000-000000000000}"/>
  <bookViews>
    <workbookView xWindow="0" yWindow="0" windowWidth="18514" windowHeight="8640" xr2:uid="{3E4818A7-C066-48E8-B428-D50DDC2A87C2}"/>
  </bookViews>
  <sheets>
    <sheet name="Sheet1" sheetId="1" r:id="rId1"/>
  </sheets>
  <calcPr calcId="179021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4" i="1"/>
</calcChain>
</file>

<file path=xl/sharedStrings.xml><?xml version="1.0" encoding="utf-8"?>
<sst xmlns="http://schemas.openxmlformats.org/spreadsheetml/2006/main" count="60" uniqueCount="60">
  <si>
    <t>HISTORICAL COCOA PRODUCER PRICE AND WORLD MARKET PRICE 1960/61 TO 2021/22</t>
  </si>
  <si>
    <t xml:space="preserve"> CROP YEAR</t>
  </si>
  <si>
    <t>PRODUCER PRICE IN CEDIS/TONNE</t>
  </si>
  <si>
    <t>ICCO PRICE/TONNE (US$)</t>
  </si>
  <si>
    <t>1969/1970</t>
  </si>
  <si>
    <t>1970/1971</t>
  </si>
  <si>
    <t>1971/1972</t>
  </si>
  <si>
    <t>1972/1973</t>
  </si>
  <si>
    <t>1973/1974</t>
  </si>
  <si>
    <t>1974/1975</t>
  </si>
  <si>
    <t>1975/1976</t>
  </si>
  <si>
    <t>1976/1977</t>
  </si>
  <si>
    <t>1977/1978</t>
  </si>
  <si>
    <t>1978/1979</t>
  </si>
  <si>
    <t>1979/1980</t>
  </si>
  <si>
    <t>1980/1981</t>
  </si>
  <si>
    <t>1981/1982</t>
  </si>
  <si>
    <t>1982/1983</t>
  </si>
  <si>
    <t>1983/1984</t>
  </si>
  <si>
    <t>1984/1985</t>
  </si>
  <si>
    <t>1985/1986</t>
  </si>
  <si>
    <t>1986/1987</t>
  </si>
  <si>
    <t>1987/1988</t>
  </si>
  <si>
    <t>1988/1989</t>
  </si>
  <si>
    <t>1989/1990</t>
  </si>
  <si>
    <t>1990/1991</t>
  </si>
  <si>
    <t>1991/1992</t>
  </si>
  <si>
    <t>1992/1993</t>
  </si>
  <si>
    <t>1993/1994</t>
  </si>
  <si>
    <t>1994/1995</t>
  </si>
  <si>
    <t>1995/1996</t>
  </si>
  <si>
    <t>1996/1997</t>
  </si>
  <si>
    <t>1997/1998</t>
  </si>
  <si>
    <t>1998/1999</t>
  </si>
  <si>
    <t>1999/2000</t>
  </si>
  <si>
    <t>2000/01</t>
  </si>
  <si>
    <t>2001/02</t>
  </si>
  <si>
    <t>2002/03</t>
  </si>
  <si>
    <t>2003/04</t>
  </si>
  <si>
    <t>2004/05</t>
  </si>
  <si>
    <t>2005/06</t>
  </si>
  <si>
    <t>2006/07</t>
  </si>
  <si>
    <t>*2007/08</t>
  </si>
  <si>
    <t>950.00/1,200.00</t>
  </si>
  <si>
    <t>2008/09</t>
  </si>
  <si>
    <t>*2009/10</t>
  </si>
  <si>
    <t>2,208.00/2,400.00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</si>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</sst>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quotePrefix="1" applyFont="1" applyBorder="1"/>
    <xf numFmtId="164" fontId="3" fillId="0" borderId="1" xfId="1" applyFont="1" applyBorder="1" applyAlignment="1">
      <alignment horizontal="right" wrapText="1"/>
    </xf>
    <xf numFmtId="164" fontId="3" fillId="0" borderId="1" xfId="1" applyFont="1" applyBorder="1" applyAlignment="1">
      <alignment horizontal="center" wrapText="1"/>
    </xf>
    <xf numFmtId="164" fontId="3" fillId="0" borderId="1" xfId="1" applyFont="1" applyFill="1" applyBorder="1" applyAlignment="1">
      <alignment horizontal="right" wrapText="1"/>
    </xf>
    <xf numFmtId="164" fontId="3" fillId="0" borderId="1" xfId="1" applyFont="1" applyFill="1" applyBorder="1"/>
    <xf numFmtId="0" fontId="3" fillId="0" borderId="1" xfId="0" applyFont="1" applyBorder="1"/>
    <xf numFmtId="164" fontId="3" fillId="0" borderId="1" xfId="1" applyFont="1" applyBorder="1"/>
    <xf numFmtId="164" fontId="4" fillId="0" borderId="1" xfId="1" applyFont="1" applyFill="1" applyBorder="1" applyAlignment="1">
      <alignment horizontal="right"/>
    </xf>
    <xf numFmtId="165" fontId="3" fillId="0" borderId="1" xfId="1" applyNumberFormat="1" applyFont="1" applyFill="1" applyBorder="1"/>
    <xf numFmtId="165" fontId="3" fillId="0" borderId="1" xfId="1" applyNumberFormat="1" applyFont="1" applyBorder="1"/>
    <xf numFmtId="164" fontId="4" fillId="4" borderId="1" xfId="1" applyFont="1" applyFill="1" applyBorder="1" applyAlignment="1">
      <alignment horizontal="right"/>
    </xf>
    <xf numFmtId="165" fontId="4" fillId="4" borderId="1" xfId="1" applyNumberFormat="1" applyFont="1" applyFill="1" applyBorder="1" applyAlignment="1">
      <alignment horizontal="right"/>
    </xf>
    <xf numFmtId="0" fontId="3" fillId="0" borderId="2" xfId="0" applyFont="1" applyBorder="1"/>
    <xf numFmtId="165" fontId="4" fillId="4" borderId="2" xfId="1" applyNumberFormat="1" applyFont="1" applyFill="1" applyBorder="1" applyAlignment="1">
      <alignment horizontal="right"/>
    </xf>
    <xf numFmtId="165" fontId="3" fillId="0" borderId="2" xfId="1" applyNumberFormat="1" applyFont="1" applyBorder="1"/>
    <xf numFmtId="0" fontId="2" fillId="2" borderId="1" xfId="0" applyFont="1" applyFill="1" applyBorder="1" applyAlignment="1">
      <alignment horizontal="center" wrapText="1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1969/1970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C77-4D54-A3F8-1A0125C15D83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1970/1971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Sheet1!$D$4</c:f>
              <c:numCache>
                <c:formatCode>0.00</c:formatCode>
                <c:ptCount val="1"/>
                <c:pt idx="0">
                  <c:v>-19.726027397260275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7-4D54-A3F8-1A0125C15D83}"/>
            </c:ext>
          </c:extLst>
        </c:ser>
        <c:ser>
          <c:idx val="2"/>
          <c:order val="2"/>
          <c:tx>
            <c:strRef>
              <c:f>Sheet1!$A$5</c:f>
              <c:strCache>
                <c:ptCount val="1"/>
                <c:pt idx="0">
                  <c:v>1971/1972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Sheet1!$D$5</c:f>
              <c:numCache>
                <c:formatCode>0.00</c:formatCode>
                <c:ptCount val="1"/>
                <c:pt idx="0">
                  <c:v>-0.51194539249146753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77-4D54-A3F8-1A0125C15D83}"/>
            </c:ext>
          </c:extLst>
        </c:ser>
        <c:ser>
          <c:idx val="3"/>
          <c:order val="3"/>
          <c:tx>
            <c:strRef>
              <c:f>Sheet1!$A$6</c:f>
              <c:strCache>
                <c:ptCount val="1"/>
                <c:pt idx="0">
                  <c:v>1972/1973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Sheet1!$D$6</c:f>
              <c:numCache>
                <c:formatCode>0.00</c:formatCode>
                <c:ptCount val="1"/>
                <c:pt idx="0">
                  <c:v>73.927958833619215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77-4D54-A3F8-1A0125C15D83}"/>
            </c:ext>
          </c:extLst>
        </c:ser>
        <c:ser>
          <c:idx val="4"/>
          <c:order val="4"/>
          <c:tx>
            <c:strRef>
              <c:f>Sheet1!$A$7</c:f>
              <c:strCache>
                <c:ptCount val="1"/>
                <c:pt idx="0">
                  <c:v>1973/1974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Sheet1!$D$7</c:f>
              <c:numCache>
                <c:formatCode>0.00</c:formatCode>
                <c:ptCount val="1"/>
                <c:pt idx="0">
                  <c:v>43.491124260355029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77-4D54-A3F8-1A0125C15D83}"/>
            </c:ext>
          </c:extLst>
        </c:ser>
        <c:ser>
          <c:idx val="5"/>
          <c:order val="5"/>
          <c:tx>
            <c:strRef>
              <c:f>Sheet1!$A$8</c:f>
              <c:strCache>
                <c:ptCount val="1"/>
                <c:pt idx="0">
                  <c:v>1974/1975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Sheet1!$D$8</c:f>
              <c:numCache>
                <c:formatCode>0.00</c:formatCode>
                <c:ptCount val="1"/>
                <c:pt idx="0">
                  <c:v>-8.5223367697594501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77-4D54-A3F8-1A0125C15D83}"/>
            </c:ext>
          </c:extLst>
        </c:ser>
        <c:ser>
          <c:idx val="6"/>
          <c:order val="6"/>
          <c:tx>
            <c:strRef>
              <c:f>Sheet1!$A$9</c:f>
              <c:strCache>
                <c:ptCount val="1"/>
                <c:pt idx="0">
                  <c:v>1975/1976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Sheet1!$D$9</c:f>
              <c:numCache>
                <c:formatCode>0.00</c:formatCode>
                <c:ptCount val="1"/>
                <c:pt idx="0">
                  <c:v>24.342599549211119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77-4D54-A3F8-1A0125C15D83}"/>
            </c:ext>
          </c:extLst>
        </c:ser>
        <c:ser>
          <c:idx val="7"/>
          <c:order val="7"/>
          <c:tx>
            <c:strRef>
              <c:f>Sheet1!$A$10</c:f>
              <c:strCache>
                <c:ptCount val="1"/>
                <c:pt idx="0">
                  <c:v>1976/1977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Sheet1!$D$10</c:f>
              <c:numCache>
                <c:formatCode>0.00</c:formatCode>
                <c:ptCount val="1"/>
                <c:pt idx="0">
                  <c:v>119.45619335347433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C77-4D54-A3F8-1A0125C15D83}"/>
            </c:ext>
          </c:extLst>
        </c:ser>
        <c:ser>
          <c:idx val="8"/>
          <c:order val="8"/>
          <c:tx>
            <c:strRef>
              <c:f>Sheet1!$A$11</c:f>
              <c:strCache>
                <c:ptCount val="1"/>
                <c:pt idx="0">
                  <c:v>1977/1978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Sheet1!$D$11</c:f>
              <c:numCache>
                <c:formatCode>0.00</c:formatCode>
                <c:ptCount val="1"/>
                <c:pt idx="0">
                  <c:v>-9.6090308370044042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77-4D54-A3F8-1A0125C15D83}"/>
            </c:ext>
          </c:extLst>
        </c:ser>
        <c:ser>
          <c:idx val="9"/>
          <c:order val="9"/>
          <c:tx>
            <c:strRef>
              <c:f>Sheet1!$A$12</c:f>
              <c:strCache>
                <c:ptCount val="1"/>
                <c:pt idx="0">
                  <c:v>1978/1979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Sheet1!$D$12</c:f>
              <c:numCache>
                <c:formatCode>0.00</c:formatCode>
                <c:ptCount val="1"/>
                <c:pt idx="0">
                  <c:v>6.7316478830338102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77-4D54-A3F8-1A0125C15D83}"/>
            </c:ext>
          </c:extLst>
        </c:ser>
        <c:ser>
          <c:idx val="10"/>
          <c:order val="10"/>
          <c:tx>
            <c:strRef>
              <c:f>Sheet1!$A$13</c:f>
              <c:strCache>
                <c:ptCount val="1"/>
                <c:pt idx="0">
                  <c:v>1979/1980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C77-4D54-A3F8-1A0125C15D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Sheet1!$D$13</c:f>
              <c:numCache>
                <c:formatCode>0.00</c:formatCode>
                <c:ptCount val="1"/>
                <c:pt idx="0">
                  <c:v>-19.37785388127854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77-4D54-A3F8-1A0125C15D83}"/>
            </c:ext>
          </c:extLst>
        </c:ser>
        <c:ser>
          <c:idx val="11"/>
          <c:order val="11"/>
          <c:tx>
            <c:strRef>
              <c:f>Sheet1!$A$14</c:f>
              <c:strCache>
                <c:ptCount val="1"/>
                <c:pt idx="0">
                  <c:v>1980/1981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Sheet1!$D$14</c:f>
              <c:numCache>
                <c:formatCode>0.00</c:formatCode>
                <c:ptCount val="1"/>
                <c:pt idx="0">
                  <c:v>-25.734513274336283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C77-4D54-A3F8-1A0125C15D83}"/>
            </c:ext>
          </c:extLst>
        </c:ser>
        <c:ser>
          <c:idx val="12"/>
          <c:order val="12"/>
          <c:tx>
            <c:strRef>
              <c:f>Sheet1!$A$15</c:f>
              <c:strCache>
                <c:ptCount val="1"/>
                <c:pt idx="0">
                  <c:v>1981/1982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Sheet1!$D$15</c:f>
              <c:numCache>
                <c:formatCode>0.00</c:formatCode>
                <c:ptCount val="1"/>
                <c:pt idx="0">
                  <c:v>-10.962821734985701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C77-4D54-A3F8-1A0125C15D83}"/>
            </c:ext>
          </c:extLst>
        </c:ser>
        <c:ser>
          <c:idx val="13"/>
          <c:order val="13"/>
          <c:tx>
            <c:strRef>
              <c:f>Sheet1!$A$16</c:f>
              <c:strCache>
                <c:ptCount val="1"/>
                <c:pt idx="0">
                  <c:v>1982/1983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Sheet1!$D$16</c:f>
              <c:numCache>
                <c:formatCode>0.00</c:formatCode>
                <c:ptCount val="1"/>
                <c:pt idx="0">
                  <c:v>4.3361884368308354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C77-4D54-A3F8-1A0125C15D83}"/>
            </c:ext>
          </c:extLst>
        </c:ser>
        <c:ser>
          <c:idx val="14"/>
          <c:order val="14"/>
          <c:tx>
            <c:strRef>
              <c:f>Sheet1!$A$17</c:f>
              <c:strCache>
                <c:ptCount val="1"/>
                <c:pt idx="0">
                  <c:v>1983/1984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Sheet1!$D$17</c:f>
              <c:numCache>
                <c:formatCode>0.00</c:formatCode>
                <c:ptCount val="1"/>
                <c:pt idx="0">
                  <c:v>23.755772190867113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C77-4D54-A3F8-1A0125C15D83}"/>
            </c:ext>
          </c:extLst>
        </c:ser>
        <c:ser>
          <c:idx val="15"/>
          <c:order val="15"/>
          <c:tx>
            <c:strRef>
              <c:f>Sheet1!$A$18</c:f>
              <c:strCache>
                <c:ptCount val="1"/>
                <c:pt idx="0">
                  <c:v>1984/1985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Sheet1!$D$18</c:f>
              <c:numCache>
                <c:formatCode>0.00</c:formatCode>
                <c:ptCount val="1"/>
                <c:pt idx="0">
                  <c:v>-7.8772802653399667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C77-4D54-A3F8-1A0125C15D83}"/>
            </c:ext>
          </c:extLst>
        </c:ser>
        <c:ser>
          <c:idx val="16"/>
          <c:order val="16"/>
          <c:tx>
            <c:strRef>
              <c:f>Sheet1!$A$19</c:f>
              <c:strCache>
                <c:ptCount val="1"/>
                <c:pt idx="0">
                  <c:v>1985/1986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Sheet1!$D$19</c:f>
              <c:numCache>
                <c:formatCode>0.00</c:formatCode>
                <c:ptCount val="1"/>
                <c:pt idx="0">
                  <c:v>-3.2853285328532857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C77-4D54-A3F8-1A0125C15D83}"/>
            </c:ext>
          </c:extLst>
        </c:ser>
        <c:ser>
          <c:idx val="17"/>
          <c:order val="17"/>
          <c:tx>
            <c:strRef>
              <c:f>Sheet1!$A$20</c:f>
              <c:strCache>
                <c:ptCount val="1"/>
                <c:pt idx="0">
                  <c:v>1986/1987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Sheet1!$D$20</c:f>
              <c:numCache>
                <c:formatCode>0.00</c:formatCode>
                <c:ptCount val="1"/>
                <c:pt idx="0">
                  <c:v>-5.8631921824104234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C77-4D54-A3F8-1A0125C15D83}"/>
            </c:ext>
          </c:extLst>
        </c:ser>
        <c:ser>
          <c:idx val="18"/>
          <c:order val="18"/>
          <c:tx>
            <c:strRef>
              <c:f>Sheet1!$A$21</c:f>
              <c:strCache>
                <c:ptCount val="1"/>
                <c:pt idx="0">
                  <c:v>1987/1988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Sheet1!$D$21</c:f>
              <c:numCache>
                <c:formatCode>0.00</c:formatCode>
                <c:ptCount val="1"/>
                <c:pt idx="0">
                  <c:v>-15.620365793376173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C77-4D54-A3F8-1A0125C15D83}"/>
            </c:ext>
          </c:extLst>
        </c:ser>
        <c:ser>
          <c:idx val="19"/>
          <c:order val="19"/>
          <c:tx>
            <c:strRef>
              <c:f>Sheet1!$A$22</c:f>
              <c:strCache>
                <c:ptCount val="1"/>
                <c:pt idx="0">
                  <c:v>1988/1989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Sheet1!$D$22</c:f>
              <c:numCache>
                <c:formatCode>0.00</c:formatCode>
                <c:ptCount val="1"/>
                <c:pt idx="0">
                  <c:v>-21.265377855887522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C77-4D54-A3F8-1A0125C15D83}"/>
            </c:ext>
          </c:extLst>
        </c:ser>
        <c:ser>
          <c:idx val="20"/>
          <c:order val="20"/>
          <c:tx>
            <c:strRef>
              <c:f>Sheet1!$A$23</c:f>
              <c:strCache>
                <c:ptCount val="1"/>
                <c:pt idx="0">
                  <c:v>1989/1990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Sheet1!$D$23</c:f>
              <c:numCache>
                <c:formatCode>0.00</c:formatCode>
                <c:ptCount val="1"/>
                <c:pt idx="0">
                  <c:v>-11.235119047619047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C77-4D54-A3F8-1A0125C15D83}"/>
            </c:ext>
          </c:extLst>
        </c:ser>
        <c:ser>
          <c:idx val="21"/>
          <c:order val="21"/>
          <c:tx>
            <c:strRef>
              <c:f>Sheet1!$A$24</c:f>
              <c:strCache>
                <c:ptCount val="1"/>
                <c:pt idx="0">
                  <c:v>1990/1991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Sheet1!$D$24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C77-4D54-A3F8-1A0125C15D83}"/>
            </c:ext>
          </c:extLst>
        </c:ser>
        <c:ser>
          <c:idx val="22"/>
          <c:order val="22"/>
          <c:tx>
            <c:strRef>
              <c:f>Sheet1!$A$25</c:f>
              <c:strCache>
                <c:ptCount val="1"/>
                <c:pt idx="0">
                  <c:v>1991/1992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Sheet1!$D$25</c:f>
              <c:numCache>
                <c:formatCode>0.00</c:formatCode>
                <c:ptCount val="1"/>
                <c:pt idx="0">
                  <c:v>-2.2632020117351215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C77-4D54-A3F8-1A0125C15D83}"/>
            </c:ext>
          </c:extLst>
        </c:ser>
        <c:ser>
          <c:idx val="23"/>
          <c:order val="23"/>
          <c:tx>
            <c:strRef>
              <c:f>Sheet1!$A$26</c:f>
              <c:strCache>
                <c:ptCount val="1"/>
                <c:pt idx="0">
                  <c:v>1992/1993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Sheet1!$D$26</c:f>
              <c:numCache>
                <c:formatCode>0.00</c:formatCode>
                <c:ptCount val="1"/>
                <c:pt idx="0">
                  <c:v>-9.8627787307032584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C77-4D54-A3F8-1A0125C15D83}"/>
            </c:ext>
          </c:extLst>
        </c:ser>
        <c:ser>
          <c:idx val="24"/>
          <c:order val="24"/>
          <c:tx>
            <c:strRef>
              <c:f>Sheet1!$A$27</c:f>
              <c:strCache>
                <c:ptCount val="1"/>
                <c:pt idx="0">
                  <c:v>1993/1994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Sheet1!$D$27</c:f>
              <c:numCache>
                <c:formatCode>0.00</c:formatCode>
                <c:ptCount val="1"/>
                <c:pt idx="0">
                  <c:v>30.352045670789725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C77-4D54-A3F8-1A0125C15D83}"/>
            </c:ext>
          </c:extLst>
        </c:ser>
        <c:ser>
          <c:idx val="25"/>
          <c:order val="25"/>
          <c:tx>
            <c:strRef>
              <c:f>Sheet1!$A$28</c:f>
              <c:strCache>
                <c:ptCount val="1"/>
                <c:pt idx="0">
                  <c:v>1994/1995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Sheet1!$D$28</c:f>
              <c:numCache>
                <c:formatCode>0.00</c:formatCode>
                <c:ptCount val="1"/>
                <c:pt idx="0">
                  <c:v>5.1094890510948909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C77-4D54-A3F8-1A0125C15D83}"/>
            </c:ext>
          </c:extLst>
        </c:ser>
        <c:ser>
          <c:idx val="26"/>
          <c:order val="26"/>
          <c:tx>
            <c:strRef>
              <c:f>Sheet1!$A$29</c:f>
              <c:strCache>
                <c:ptCount val="1"/>
                <c:pt idx="0">
                  <c:v>1995/1996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Sheet1!$D$29</c:f>
              <c:numCache>
                <c:formatCode>0.00</c:formatCode>
                <c:ptCount val="1"/>
                <c:pt idx="0">
                  <c:v>-0.1388888888888889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C77-4D54-A3F8-1A0125C15D83}"/>
            </c:ext>
          </c:extLst>
        </c:ser>
        <c:ser>
          <c:idx val="27"/>
          <c:order val="27"/>
          <c:tx>
            <c:strRef>
              <c:f>Sheet1!$A$30</c:f>
              <c:strCache>
                <c:ptCount val="1"/>
                <c:pt idx="0">
                  <c:v>1996/1997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Sheet1!$D$30</c:f>
              <c:numCache>
                <c:formatCode>0.00</c:formatCode>
                <c:ptCount val="1"/>
                <c:pt idx="0">
                  <c:v>8.2058414464534071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C77-4D54-A3F8-1A0125C15D83}"/>
            </c:ext>
          </c:extLst>
        </c:ser>
        <c:ser>
          <c:idx val="28"/>
          <c:order val="28"/>
          <c:tx>
            <c:strRef>
              <c:f>Sheet1!$A$31</c:f>
              <c:strCache>
                <c:ptCount val="1"/>
                <c:pt idx="0">
                  <c:v>1997/1998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Sheet1!$D$31</c:f>
              <c:numCache>
                <c:formatCode>0.00</c:formatCode>
                <c:ptCount val="1"/>
                <c:pt idx="0">
                  <c:v>9.9614395886889451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C77-4D54-A3F8-1A0125C15D83}"/>
            </c:ext>
          </c:extLst>
        </c:ser>
        <c:ser>
          <c:idx val="29"/>
          <c:order val="29"/>
          <c:tx>
            <c:strRef>
              <c:f>Sheet1!$A$32</c:f>
              <c:strCache>
                <c:ptCount val="1"/>
                <c:pt idx="0">
                  <c:v>1998/1999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Sheet1!$D$32</c:f>
              <c:numCache>
                <c:formatCode>0.00</c:formatCode>
                <c:ptCount val="1"/>
                <c:pt idx="0">
                  <c:v>-24.137931034482758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C77-4D54-A3F8-1A0125C15D83}"/>
            </c:ext>
          </c:extLst>
        </c:ser>
        <c:ser>
          <c:idx val="30"/>
          <c:order val="30"/>
          <c:tx>
            <c:strRef>
              <c:f>Sheet1!$A$33</c:f>
              <c:strCache>
                <c:ptCount val="1"/>
                <c:pt idx="0">
                  <c:v>1999/2000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Sheet1!$D$33</c:f>
              <c:numCache>
                <c:formatCode>0.00</c:formatCode>
                <c:ptCount val="1"/>
                <c:pt idx="0">
                  <c:v>-29.198767334360554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C77-4D54-A3F8-1A0125C15D83}"/>
            </c:ext>
          </c:extLst>
        </c:ser>
        <c:ser>
          <c:idx val="31"/>
          <c:order val="31"/>
          <c:tx>
            <c:strRef>
              <c:f>Sheet1!$A$34</c:f>
              <c:strCache>
                <c:ptCount val="1"/>
                <c:pt idx="0">
                  <c:v>2000/01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Sheet1!$D$34</c:f>
              <c:numCache>
                <c:formatCode>0.00</c:formatCode>
                <c:ptCount val="1"/>
                <c:pt idx="0">
                  <c:v>7.7257889009793264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C77-4D54-A3F8-1A0125C15D83}"/>
            </c:ext>
          </c:extLst>
        </c:ser>
        <c:ser>
          <c:idx val="32"/>
          <c:order val="32"/>
          <c:tx>
            <c:strRef>
              <c:f>Sheet1!$A$35</c:f>
              <c:strCache>
                <c:ptCount val="1"/>
                <c:pt idx="0">
                  <c:v>2001/02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3">
                    <a:lumMod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Sheet1!$D$35</c:f>
              <c:numCache>
                <c:formatCode>0.00</c:formatCode>
                <c:ptCount val="1"/>
                <c:pt idx="0">
                  <c:v>59.595959595959592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C77-4D54-A3F8-1A0125C15D83}"/>
            </c:ext>
          </c:extLst>
        </c:ser>
        <c:ser>
          <c:idx val="33"/>
          <c:order val="33"/>
          <c:tx>
            <c:strRef>
              <c:f>Sheet1!$A$36</c:f>
              <c:strCache>
                <c:ptCount val="1"/>
                <c:pt idx="0">
                  <c:v>2002/03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Sheet1!$D$36</c:f>
              <c:numCache>
                <c:formatCode>0.00</c:formatCode>
                <c:ptCount val="1"/>
                <c:pt idx="0">
                  <c:v>18.544303797468352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C77-4D54-A3F8-1A0125C15D83}"/>
            </c:ext>
          </c:extLst>
        </c:ser>
        <c:ser>
          <c:idx val="34"/>
          <c:order val="34"/>
          <c:tx>
            <c:strRef>
              <c:f>Sheet1!$A$37</c:f>
              <c:strCache>
                <c:ptCount val="1"/>
                <c:pt idx="0">
                  <c:v>2003/04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Sheet1!$D$37</c:f>
              <c:numCache>
                <c:formatCode>0.00</c:formatCode>
                <c:ptCount val="1"/>
                <c:pt idx="0">
                  <c:v>-18.09930592632141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C77-4D54-A3F8-1A0125C15D83}"/>
            </c:ext>
          </c:extLst>
        </c:ser>
        <c:ser>
          <c:idx val="35"/>
          <c:order val="35"/>
          <c:tx>
            <c:strRef>
              <c:f>Sheet1!$A$38</c:f>
              <c:strCache>
                <c:ptCount val="1"/>
                <c:pt idx="0">
                  <c:v>2004/05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Sheet1!$D$38</c:f>
              <c:numCache>
                <c:formatCode>0.00</c:formatCode>
                <c:ptCount val="1"/>
                <c:pt idx="0">
                  <c:v>2.4119947848761409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C77-4D54-A3F8-1A0125C15D83}"/>
            </c:ext>
          </c:extLst>
        </c:ser>
        <c:ser>
          <c:idx val="36"/>
          <c:order val="36"/>
          <c:tx>
            <c:strRef>
              <c:f>Sheet1!$A$39</c:f>
              <c:strCache>
                <c:ptCount val="1"/>
                <c:pt idx="0">
                  <c:v>2005/06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Sheet1!$D$39</c:f>
              <c:numCache>
                <c:formatCode>0.00</c:formatCode>
                <c:ptCount val="1"/>
                <c:pt idx="0">
                  <c:v>-0.89115213239974544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EC77-4D54-A3F8-1A0125C15D83}"/>
            </c:ext>
          </c:extLst>
        </c:ser>
        <c:ser>
          <c:idx val="37"/>
          <c:order val="37"/>
          <c:tx>
            <c:strRef>
              <c:f>Sheet1!$A$40</c:f>
              <c:strCache>
                <c:ptCount val="1"/>
                <c:pt idx="0">
                  <c:v>2006/07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Sheet1!$D$40</c:f>
              <c:numCache>
                <c:formatCode>0.00</c:formatCode>
                <c:ptCount val="1"/>
                <c:pt idx="0">
                  <c:v>19.075144508670519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EC77-4D54-A3F8-1A0125C15D83}"/>
            </c:ext>
          </c:extLst>
        </c:ser>
        <c:ser>
          <c:idx val="38"/>
          <c:order val="38"/>
          <c:tx>
            <c:strRef>
              <c:f>Sheet1!$A$41</c:f>
              <c:strCache>
                <c:ptCount val="1"/>
                <c:pt idx="0">
                  <c:v>*2007/08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Sheet1!$D$41</c:f>
              <c:numCache>
                <c:formatCode>0.00</c:formatCode>
                <c:ptCount val="1"/>
                <c:pt idx="0">
                  <c:v>35.706580366774546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EC77-4D54-A3F8-1A0125C15D83}"/>
            </c:ext>
          </c:extLst>
        </c:ser>
        <c:ser>
          <c:idx val="39"/>
          <c:order val="39"/>
          <c:tx>
            <c:strRef>
              <c:f>Sheet1!$A$42</c:f>
              <c:strCache>
                <c:ptCount val="1"/>
                <c:pt idx="0">
                  <c:v>2008/09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Sheet1!$D$42</c:f>
              <c:numCache>
                <c:formatCode>0.00</c:formatCode>
                <c:ptCount val="1"/>
                <c:pt idx="0">
                  <c:v>3.2988871224165344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EC77-4D54-A3F8-1A0125C15D83}"/>
            </c:ext>
          </c:extLst>
        </c:ser>
        <c:ser>
          <c:idx val="40"/>
          <c:order val="40"/>
          <c:tx>
            <c:strRef>
              <c:f>Sheet1!$A$43</c:f>
              <c:strCache>
                <c:ptCount val="1"/>
                <c:pt idx="0">
                  <c:v>*2009/10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Sheet1!$D$43</c:f>
              <c:numCache>
                <c:formatCode>0.00</c:formatCode>
                <c:ptCount val="1"/>
                <c:pt idx="0">
                  <c:v>24.89419007310504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EC77-4D54-A3F8-1A0125C15D83}"/>
            </c:ext>
          </c:extLst>
        </c:ser>
        <c:ser>
          <c:idx val="41"/>
          <c:order val="41"/>
          <c:tx>
            <c:strRef>
              <c:f>Sheet1!$A$44</c:f>
              <c:strCache>
                <c:ptCount val="1"/>
                <c:pt idx="0">
                  <c:v>2010/11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70000"/>
                    <a:lumOff val="3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70000"/>
                    <a:lumOff val="3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Sheet1!$D$44</c:f>
              <c:numCache>
                <c:formatCode>0.00</c:formatCode>
                <c:ptCount val="1"/>
                <c:pt idx="0">
                  <c:v>-4.3592113370301906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EC77-4D54-A3F8-1A0125C15D83}"/>
            </c:ext>
          </c:extLst>
        </c:ser>
        <c:ser>
          <c:idx val="42"/>
          <c:order val="42"/>
          <c:tx>
            <c:strRef>
              <c:f>Sheet1!$A$45</c:f>
              <c:strCache>
                <c:ptCount val="1"/>
                <c:pt idx="0">
                  <c:v>2011/12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Sheet1!$D$45</c:f>
              <c:numCache>
                <c:formatCode>0.00</c:formatCode>
                <c:ptCount val="1"/>
                <c:pt idx="0">
                  <c:v>-22.814301819938798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C77-4D54-A3F8-1A0125C15D83}"/>
            </c:ext>
          </c:extLst>
        </c:ser>
        <c:ser>
          <c:idx val="43"/>
          <c:order val="43"/>
          <c:tx>
            <c:strRef>
              <c:f>Sheet1!$A$46</c:f>
              <c:strCache>
                <c:ptCount val="1"/>
                <c:pt idx="0">
                  <c:v>2012/13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Sheet1!$D$46</c:f>
              <c:numCache>
                <c:formatCode>0.00</c:formatCode>
                <c:ptCount val="1"/>
                <c:pt idx="0">
                  <c:v>-1.544885090329402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C77-4D54-A3F8-1A0125C15D83}"/>
            </c:ext>
          </c:extLst>
        </c:ser>
        <c:ser>
          <c:idx val="44"/>
          <c:order val="44"/>
          <c:tx>
            <c:strRef>
              <c:f>Sheet1!$A$47</c:f>
              <c:strCache>
                <c:ptCount val="1"/>
                <c:pt idx="0">
                  <c:v>2013/14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Sheet1!$D$47</c:f>
              <c:numCache>
                <c:formatCode>0.00</c:formatCode>
                <c:ptCount val="1"/>
                <c:pt idx="0">
                  <c:v>26.270604875952174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EC77-4D54-A3F8-1A0125C15D83}"/>
            </c:ext>
          </c:extLst>
        </c:ser>
        <c:ser>
          <c:idx val="45"/>
          <c:order val="45"/>
          <c:tx>
            <c:strRef>
              <c:f>Sheet1!$A$48</c:f>
              <c:strCache>
                <c:ptCount val="1"/>
                <c:pt idx="0">
                  <c:v>2014/15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Sheet1!$D$48</c:f>
              <c:numCache>
                <c:formatCode>0.00</c:formatCode>
                <c:ptCount val="1"/>
                <c:pt idx="0">
                  <c:v>2.3197846869628309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EC77-4D54-A3F8-1A0125C15D83}"/>
            </c:ext>
          </c:extLst>
        </c:ser>
        <c:ser>
          <c:idx val="46"/>
          <c:order val="46"/>
          <c:tx>
            <c:strRef>
              <c:f>Sheet1!$A$49</c:f>
              <c:strCache>
                <c:ptCount val="1"/>
                <c:pt idx="0">
                  <c:v>2015/16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Sheet1!$D$49</c:f>
              <c:numCache>
                <c:formatCode>0.00</c:formatCode>
                <c:ptCount val="1"/>
                <c:pt idx="0">
                  <c:v>1.4598078245563197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C77-4D54-A3F8-1A0125C15D83}"/>
            </c:ext>
          </c:extLst>
        </c:ser>
        <c:ser>
          <c:idx val="47"/>
          <c:order val="47"/>
          <c:tx>
            <c:strRef>
              <c:f>Sheet1!$A$50</c:f>
              <c:strCache>
                <c:ptCount val="1"/>
                <c:pt idx="0">
                  <c:v>2016/17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7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7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Sheet1!$D$50</c:f>
              <c:numCache>
                <c:formatCode>0.00</c:formatCode>
                <c:ptCount val="1"/>
                <c:pt idx="0">
                  <c:v>-30.73316858482541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EC77-4D54-A3F8-1A0125C15D83}"/>
            </c:ext>
          </c:extLst>
        </c:ser>
        <c:ser>
          <c:idx val="48"/>
          <c:order val="48"/>
          <c:tx>
            <c:strRef>
              <c:f>Sheet1!$A$51</c:f>
              <c:strCache>
                <c:ptCount val="1"/>
                <c:pt idx="0">
                  <c:v>2017/18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50000"/>
                    <a:lumOff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50000"/>
                    <a:lumOff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Sheet1!$D$51</c:f>
              <c:numCache>
                <c:formatCode>0.00</c:formatCode>
                <c:ptCount val="1"/>
                <c:pt idx="0">
                  <c:v>5.5818770085533611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EC77-4D54-A3F8-1A0125C15D83}"/>
            </c:ext>
          </c:extLst>
        </c:ser>
        <c:ser>
          <c:idx val="49"/>
          <c:order val="49"/>
          <c:tx>
            <c:strRef>
              <c:f>Sheet1!$A$52</c:f>
              <c:strCache>
                <c:ptCount val="1"/>
                <c:pt idx="0">
                  <c:v>2018/19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50000"/>
                    <a:lumOff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50000"/>
                    <a:lumOff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Sheet1!$D$52</c:f>
              <c:numCache>
                <c:formatCode>0.00</c:formatCode>
                <c:ptCount val="1"/>
                <c:pt idx="0">
                  <c:v>0.28109231389931622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EC77-4D54-A3F8-1A0125C15D83}"/>
            </c:ext>
          </c:extLst>
        </c:ser>
        <c:ser>
          <c:idx val="50"/>
          <c:order val="50"/>
          <c:tx>
            <c:strRef>
              <c:f>Sheet1!$A$53</c:f>
              <c:strCache>
                <c:ptCount val="1"/>
                <c:pt idx="0">
                  <c:v>2019/20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50000"/>
                    <a:lumOff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50000"/>
                    <a:lumOff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Sheet1!$D$53</c:f>
              <c:numCache>
                <c:formatCode>0.00</c:formatCode>
                <c:ptCount val="1"/>
                <c:pt idx="0">
                  <c:v>4.3618583200694792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EC77-4D54-A3F8-1A0125C15D83}"/>
            </c:ext>
          </c:extLst>
        </c:ser>
        <c:ser>
          <c:idx val="51"/>
          <c:order val="51"/>
          <c:tx>
            <c:strRef>
              <c:f>Sheet1!$A$54</c:f>
              <c:strCache>
                <c:ptCount val="1"/>
                <c:pt idx="0">
                  <c:v>2020/21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Off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50000"/>
                    <a:lumOff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50000"/>
                    <a:lumOff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Sheet1!$D$54</c:f>
              <c:numCache>
                <c:formatCode>0.00</c:formatCode>
                <c:ptCount val="1"/>
                <c:pt idx="0">
                  <c:v>2.5348542458808616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EC77-4D54-A3F8-1A0125C15D83}"/>
            </c:ext>
          </c:extLst>
        </c:ser>
        <c:ser>
          <c:idx val="52"/>
          <c:order val="52"/>
          <c:tx>
            <c:strRef>
              <c:f>Sheet1!$A$55</c:f>
              <c:strCache>
                <c:ptCount val="1"/>
                <c:pt idx="0">
                  <c:v>2021/22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Off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50000"/>
                    <a:lumOff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50000"/>
                    <a:lumOff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</c:f>
              <c:strCache>
                <c:ptCount val="1"/>
                <c:pt idx="0">
                  <c:v>yoy</c:v>
                </c:pt>
              </c:strCache>
            </c:strRef>
          </c:cat>
          <c:val>
            <c:numRef>
              <c:f>Sheet1!$D$55</c:f>
              <c:numCache>
                <c:formatCode>0.00</c:formatCode>
                <c:ptCount val="1"/>
                <c:pt idx="0">
                  <c:v>-1.442109600329625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EC77-4D54-A3F8-1A0125C15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5"/>
        <c:overlap val="-52"/>
        <c:axId val="2096458415"/>
        <c:axId val="2126341567"/>
      </c:barChart>
      <c:catAx>
        <c:axId val="2096458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41567"/>
        <c:crosses val="autoZero"/>
        <c:auto val="1"/>
        <c:lblAlgn val="ctr"/>
        <c:lblOffset val="100"/>
        <c:noMultiLvlLbl val="0"/>
      </c:catAx>
      <c:valAx>
        <c:axId val="212634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45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68</xdr:row>
      <xdr:rowOff>126543</xdr:rowOff>
    </xdr:from>
    <xdr:to>
      <xdr:col>33</xdr:col>
      <xdr:colOff>390524</xdr:colOff>
      <xdr:row>131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37F4A4-1B9E-4180-8931-8D13A3F55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1263-C86B-44E0-A3A4-F1C1C30ACA8C}">
  <dimension ref="A1:D55"/>
  <sheetViews>
    <sheetView tabSelected="1" topLeftCell="A37" zoomScaleNormal="100" workbookViewId="0">
      <selection activeCell="G32" sqref="G32"/>
    </sheetView>
  </sheetViews>
  <sheetFormatPr defaultRowHeight="14.6" x14ac:dyDescent="0.4"/>
  <cols>
    <col min="1" max="1" width="14.3046875" customWidth="1"/>
    <col min="2" max="2" width="19.84375" customWidth="1"/>
    <col min="3" max="3" width="18.3828125" customWidth="1"/>
  </cols>
  <sheetData>
    <row r="1" spans="1:4" ht="15.45" x14ac:dyDescent="0.4">
      <c r="A1" s="18" t="s">
        <v>0</v>
      </c>
      <c r="B1" s="18"/>
      <c r="C1" s="18"/>
    </row>
    <row r="2" spans="1:4" ht="30.9" x14ac:dyDescent="0.4">
      <c r="A2" s="1" t="s">
        <v>1</v>
      </c>
      <c r="B2" s="2" t="s">
        <v>2</v>
      </c>
      <c r="C2" s="2" t="s">
        <v>3</v>
      </c>
      <c r="D2" t="s">
        <v>59</v>
      </c>
    </row>
    <row r="3" spans="1:4" ht="15.45" x14ac:dyDescent="0.4">
      <c r="A3" s="3" t="s">
        <v>4</v>
      </c>
      <c r="B3" s="4">
        <v>293.86</v>
      </c>
      <c r="C3" s="5">
        <v>730</v>
      </c>
    </row>
    <row r="4" spans="1:4" ht="15.45" x14ac:dyDescent="0.4">
      <c r="A4" s="3" t="s">
        <v>5</v>
      </c>
      <c r="B4" s="4">
        <v>293.86</v>
      </c>
      <c r="C4" s="5">
        <v>586</v>
      </c>
      <c r="D4" s="19">
        <f>((C4-C3)/C3)*100</f>
        <v>-19.726027397260275</v>
      </c>
    </row>
    <row r="5" spans="1:4" ht="15.45" x14ac:dyDescent="0.4">
      <c r="A5" s="3" t="s">
        <v>6</v>
      </c>
      <c r="B5" s="4">
        <v>293.86</v>
      </c>
      <c r="C5" s="5">
        <v>583</v>
      </c>
      <c r="D5" s="19">
        <f t="shared" ref="D5:D55" si="0">((C5-C4)/C4)*100</f>
        <v>-0.51194539249146753</v>
      </c>
    </row>
    <row r="6" spans="1:4" ht="15.45" x14ac:dyDescent="0.4">
      <c r="A6" s="3" t="s">
        <v>7</v>
      </c>
      <c r="B6" s="4">
        <v>367.32</v>
      </c>
      <c r="C6" s="5">
        <v>1014</v>
      </c>
      <c r="D6" s="19">
        <f t="shared" si="0"/>
        <v>73.927958833619215</v>
      </c>
    </row>
    <row r="7" spans="1:4" ht="15.45" x14ac:dyDescent="0.4">
      <c r="A7" s="3" t="s">
        <v>8</v>
      </c>
      <c r="B7" s="4">
        <v>440.79</v>
      </c>
      <c r="C7" s="5">
        <v>1455</v>
      </c>
      <c r="D7" s="19">
        <f t="shared" si="0"/>
        <v>43.491124260355029</v>
      </c>
    </row>
    <row r="8" spans="1:4" ht="15.45" x14ac:dyDescent="0.4">
      <c r="A8" s="3" t="s">
        <v>9</v>
      </c>
      <c r="B8" s="6">
        <v>550.98</v>
      </c>
      <c r="C8" s="7">
        <v>1331</v>
      </c>
      <c r="D8" s="19">
        <f t="shared" si="0"/>
        <v>-8.5223367697594501</v>
      </c>
    </row>
    <row r="9" spans="1:4" ht="15.45" x14ac:dyDescent="0.4">
      <c r="A9" s="3" t="s">
        <v>10</v>
      </c>
      <c r="B9" s="6">
        <v>587.71</v>
      </c>
      <c r="C9" s="7">
        <v>1655</v>
      </c>
      <c r="D9" s="19">
        <f t="shared" si="0"/>
        <v>24.342599549211119</v>
      </c>
    </row>
    <row r="10" spans="1:4" ht="15.45" x14ac:dyDescent="0.4">
      <c r="A10" s="3" t="s">
        <v>11</v>
      </c>
      <c r="B10" s="6">
        <v>734.64</v>
      </c>
      <c r="C10" s="7">
        <v>3632</v>
      </c>
      <c r="D10" s="19">
        <f t="shared" si="0"/>
        <v>119.45619335347433</v>
      </c>
    </row>
    <row r="11" spans="1:4" ht="15.45" x14ac:dyDescent="0.4">
      <c r="A11" s="8" t="s">
        <v>12</v>
      </c>
      <c r="B11" s="6">
        <v>1333.33</v>
      </c>
      <c r="C11" s="7">
        <v>3283</v>
      </c>
      <c r="D11" s="19">
        <f t="shared" si="0"/>
        <v>-9.6090308370044042</v>
      </c>
    </row>
    <row r="12" spans="1:4" ht="15.45" x14ac:dyDescent="0.4">
      <c r="A12" s="8" t="s">
        <v>13</v>
      </c>
      <c r="B12" s="6">
        <v>7666.67</v>
      </c>
      <c r="C12" s="7">
        <v>3504</v>
      </c>
      <c r="D12" s="19">
        <f t="shared" si="0"/>
        <v>6.7316478830338102</v>
      </c>
    </row>
    <row r="13" spans="1:4" ht="15.45" x14ac:dyDescent="0.4">
      <c r="A13" s="8" t="s">
        <v>14</v>
      </c>
      <c r="B13" s="6">
        <v>4000</v>
      </c>
      <c r="C13" s="7">
        <v>2825</v>
      </c>
      <c r="D13" s="19">
        <f t="shared" si="0"/>
        <v>-19.37785388127854</v>
      </c>
    </row>
    <row r="14" spans="1:4" ht="15.45" x14ac:dyDescent="0.4">
      <c r="A14" s="8" t="s">
        <v>15</v>
      </c>
      <c r="B14" s="4">
        <v>4000</v>
      </c>
      <c r="C14" s="9">
        <v>2098</v>
      </c>
      <c r="D14" s="19">
        <f t="shared" si="0"/>
        <v>-25.734513274336283</v>
      </c>
    </row>
    <row r="15" spans="1:4" ht="15.45" x14ac:dyDescent="0.4">
      <c r="A15" s="8" t="s">
        <v>16</v>
      </c>
      <c r="B15" s="4">
        <v>12000</v>
      </c>
      <c r="C15" s="9">
        <v>1868</v>
      </c>
      <c r="D15" s="19">
        <f t="shared" si="0"/>
        <v>-10.962821734985701</v>
      </c>
    </row>
    <row r="16" spans="1:4" ht="15.45" x14ac:dyDescent="0.4">
      <c r="A16" s="8" t="s">
        <v>17</v>
      </c>
      <c r="B16" s="4">
        <v>12000</v>
      </c>
      <c r="C16" s="9">
        <v>1949</v>
      </c>
      <c r="D16" s="19">
        <f t="shared" si="0"/>
        <v>4.3361884368308354</v>
      </c>
    </row>
    <row r="17" spans="1:4" ht="15.45" x14ac:dyDescent="0.4">
      <c r="A17" s="8" t="s">
        <v>18</v>
      </c>
      <c r="B17" s="4">
        <v>20000</v>
      </c>
      <c r="C17" s="9">
        <v>2412</v>
      </c>
      <c r="D17" s="19">
        <f t="shared" si="0"/>
        <v>23.755772190867113</v>
      </c>
    </row>
    <row r="18" spans="1:4" ht="15.45" x14ac:dyDescent="0.4">
      <c r="A18" s="8" t="s">
        <v>19</v>
      </c>
      <c r="B18" s="4">
        <v>30000</v>
      </c>
      <c r="C18" s="9">
        <v>2222</v>
      </c>
      <c r="D18" s="19">
        <f t="shared" si="0"/>
        <v>-7.8772802653399667</v>
      </c>
    </row>
    <row r="19" spans="1:4" ht="15.45" x14ac:dyDescent="0.4">
      <c r="A19" s="8" t="s">
        <v>20</v>
      </c>
      <c r="B19" s="4">
        <v>56600</v>
      </c>
      <c r="C19" s="9">
        <v>2149</v>
      </c>
      <c r="D19" s="19">
        <f t="shared" si="0"/>
        <v>-3.2853285328532857</v>
      </c>
    </row>
    <row r="20" spans="1:4" ht="15.45" x14ac:dyDescent="0.4">
      <c r="A20" s="8" t="s">
        <v>21</v>
      </c>
      <c r="B20" s="4">
        <v>85000</v>
      </c>
      <c r="C20" s="9">
        <v>2023</v>
      </c>
      <c r="D20" s="19">
        <f t="shared" si="0"/>
        <v>-5.8631921824104234</v>
      </c>
    </row>
    <row r="21" spans="1:4" ht="15.45" x14ac:dyDescent="0.4">
      <c r="A21" s="8" t="s">
        <v>22</v>
      </c>
      <c r="B21" s="4">
        <v>150000</v>
      </c>
      <c r="C21" s="9">
        <v>1707</v>
      </c>
      <c r="D21" s="19">
        <f t="shared" si="0"/>
        <v>-15.620365793376173</v>
      </c>
    </row>
    <row r="22" spans="1:4" ht="15.45" x14ac:dyDescent="0.4">
      <c r="A22" s="8" t="s">
        <v>23</v>
      </c>
      <c r="B22" s="4">
        <v>165000</v>
      </c>
      <c r="C22" s="9">
        <v>1344</v>
      </c>
      <c r="D22" s="19">
        <f t="shared" si="0"/>
        <v>-21.265377855887522</v>
      </c>
    </row>
    <row r="23" spans="1:4" ht="15.45" x14ac:dyDescent="0.4">
      <c r="A23" s="8" t="s">
        <v>24</v>
      </c>
      <c r="B23" s="4">
        <v>174400</v>
      </c>
      <c r="C23" s="9">
        <v>1193</v>
      </c>
      <c r="D23" s="19">
        <f t="shared" si="0"/>
        <v>-11.235119047619047</v>
      </c>
    </row>
    <row r="24" spans="1:4" ht="15.45" x14ac:dyDescent="0.4">
      <c r="A24" s="8" t="s">
        <v>25</v>
      </c>
      <c r="B24" s="4">
        <v>224000</v>
      </c>
      <c r="C24" s="9">
        <v>1193</v>
      </c>
      <c r="D24" s="19">
        <f t="shared" si="0"/>
        <v>0</v>
      </c>
    </row>
    <row r="25" spans="1:4" ht="15.45" x14ac:dyDescent="0.4">
      <c r="A25" s="8" t="s">
        <v>26</v>
      </c>
      <c r="B25" s="4">
        <v>251200</v>
      </c>
      <c r="C25" s="9">
        <v>1166</v>
      </c>
      <c r="D25" s="19">
        <f t="shared" si="0"/>
        <v>-2.2632020117351215</v>
      </c>
    </row>
    <row r="26" spans="1:4" ht="15.45" x14ac:dyDescent="0.4">
      <c r="A26" s="8" t="s">
        <v>27</v>
      </c>
      <c r="B26" s="4">
        <v>258000</v>
      </c>
      <c r="C26" s="9">
        <v>1051</v>
      </c>
      <c r="D26" s="19">
        <f t="shared" si="0"/>
        <v>-9.8627787307032584</v>
      </c>
    </row>
    <row r="27" spans="1:4" ht="15.45" x14ac:dyDescent="0.4">
      <c r="A27" s="8" t="s">
        <v>28</v>
      </c>
      <c r="B27" s="4">
        <v>308000</v>
      </c>
      <c r="C27" s="7">
        <v>1370</v>
      </c>
      <c r="D27" s="19">
        <f t="shared" si="0"/>
        <v>30.352045670789725</v>
      </c>
    </row>
    <row r="28" spans="1:4" ht="15.45" x14ac:dyDescent="0.4">
      <c r="A28" s="8" t="s">
        <v>29</v>
      </c>
      <c r="B28" s="4">
        <v>700000</v>
      </c>
      <c r="C28" s="7">
        <v>1440</v>
      </c>
      <c r="D28" s="19">
        <f t="shared" si="0"/>
        <v>5.1094890510948909</v>
      </c>
    </row>
    <row r="29" spans="1:4" ht="15.45" x14ac:dyDescent="0.4">
      <c r="A29" s="8" t="s">
        <v>30</v>
      </c>
      <c r="B29" s="4">
        <v>840000</v>
      </c>
      <c r="C29" s="7">
        <v>1438</v>
      </c>
      <c r="D29" s="19">
        <f t="shared" si="0"/>
        <v>-0.1388888888888889</v>
      </c>
    </row>
    <row r="30" spans="1:4" ht="15.45" x14ac:dyDescent="0.4">
      <c r="A30" s="8" t="s">
        <v>31</v>
      </c>
      <c r="B30" s="10">
        <v>1200000</v>
      </c>
      <c r="C30" s="7">
        <v>1556</v>
      </c>
      <c r="D30" s="19">
        <f t="shared" si="0"/>
        <v>8.2058414464534071</v>
      </c>
    </row>
    <row r="31" spans="1:4" ht="15.45" x14ac:dyDescent="0.4">
      <c r="A31" s="8" t="s">
        <v>32</v>
      </c>
      <c r="B31" s="10">
        <v>1800000</v>
      </c>
      <c r="C31" s="7">
        <v>1711</v>
      </c>
      <c r="D31" s="19">
        <f t="shared" si="0"/>
        <v>9.9614395886889451</v>
      </c>
    </row>
    <row r="32" spans="1:4" ht="15.45" x14ac:dyDescent="0.4">
      <c r="A32" s="8" t="s">
        <v>33</v>
      </c>
      <c r="B32" s="10">
        <v>2250000</v>
      </c>
      <c r="C32" s="7">
        <v>1298</v>
      </c>
      <c r="D32" s="19">
        <f t="shared" si="0"/>
        <v>-24.137931034482758</v>
      </c>
    </row>
    <row r="33" spans="1:4" ht="15.45" x14ac:dyDescent="0.4">
      <c r="A33" s="8" t="s">
        <v>34</v>
      </c>
      <c r="B33" s="10">
        <v>2428080</v>
      </c>
      <c r="C33" s="7">
        <v>919</v>
      </c>
      <c r="D33" s="19">
        <f t="shared" si="0"/>
        <v>-29.198767334360554</v>
      </c>
    </row>
    <row r="34" spans="1:4" ht="15.45" x14ac:dyDescent="0.4">
      <c r="A34" s="8" t="s">
        <v>35</v>
      </c>
      <c r="B34" s="10">
        <v>3872000</v>
      </c>
      <c r="C34" s="11">
        <v>990</v>
      </c>
      <c r="D34" s="19">
        <f t="shared" si="0"/>
        <v>7.7257889009793264</v>
      </c>
    </row>
    <row r="35" spans="1:4" ht="15.45" x14ac:dyDescent="0.4">
      <c r="A35" s="8" t="s">
        <v>36</v>
      </c>
      <c r="B35" s="10">
        <v>6200000</v>
      </c>
      <c r="C35" s="11">
        <v>1580</v>
      </c>
      <c r="D35" s="19">
        <f t="shared" si="0"/>
        <v>59.595959595959592</v>
      </c>
    </row>
    <row r="36" spans="1:4" ht="15.45" x14ac:dyDescent="0.4">
      <c r="A36" s="8" t="s">
        <v>37</v>
      </c>
      <c r="B36" s="10">
        <v>8500000</v>
      </c>
      <c r="C36" s="11">
        <v>1873</v>
      </c>
      <c r="D36" s="19">
        <f t="shared" si="0"/>
        <v>18.544303797468352</v>
      </c>
    </row>
    <row r="37" spans="1:4" ht="15.45" x14ac:dyDescent="0.4">
      <c r="A37" s="8" t="s">
        <v>38</v>
      </c>
      <c r="B37" s="10">
        <v>9000000</v>
      </c>
      <c r="C37" s="11">
        <v>1534</v>
      </c>
      <c r="D37" s="19">
        <f t="shared" si="0"/>
        <v>-18.09930592632141</v>
      </c>
    </row>
    <row r="38" spans="1:4" ht="15.45" x14ac:dyDescent="0.4">
      <c r="A38" s="8" t="s">
        <v>39</v>
      </c>
      <c r="B38" s="10">
        <v>9000000</v>
      </c>
      <c r="C38" s="11">
        <v>1571</v>
      </c>
      <c r="D38" s="19">
        <f t="shared" si="0"/>
        <v>2.4119947848761409</v>
      </c>
    </row>
    <row r="39" spans="1:4" ht="15.45" x14ac:dyDescent="0.4">
      <c r="A39" s="8" t="s">
        <v>40</v>
      </c>
      <c r="B39" s="10">
        <v>9000000</v>
      </c>
      <c r="C39" s="12">
        <v>1557</v>
      </c>
      <c r="D39" s="19">
        <f t="shared" si="0"/>
        <v>-0.89115213239974544</v>
      </c>
    </row>
    <row r="40" spans="1:4" ht="15.45" x14ac:dyDescent="0.4">
      <c r="A40" s="8" t="s">
        <v>41</v>
      </c>
      <c r="B40" s="10">
        <v>9150000</v>
      </c>
      <c r="C40" s="12">
        <v>1854</v>
      </c>
      <c r="D40" s="19">
        <f t="shared" si="0"/>
        <v>19.075144508670519</v>
      </c>
    </row>
    <row r="41" spans="1:4" ht="15.45" x14ac:dyDescent="0.4">
      <c r="A41" s="8" t="s">
        <v>42</v>
      </c>
      <c r="B41" s="13" t="s">
        <v>43</v>
      </c>
      <c r="C41" s="12">
        <v>2516</v>
      </c>
      <c r="D41" s="19">
        <f t="shared" si="0"/>
        <v>35.706580366774546</v>
      </c>
    </row>
    <row r="42" spans="1:4" ht="15.45" x14ac:dyDescent="0.4">
      <c r="A42" s="8" t="s">
        <v>44</v>
      </c>
      <c r="B42" s="13">
        <v>1632</v>
      </c>
      <c r="C42" s="12">
        <v>2599</v>
      </c>
      <c r="D42" s="19">
        <f t="shared" si="0"/>
        <v>3.2988871224165344</v>
      </c>
    </row>
    <row r="43" spans="1:4" ht="15.45" x14ac:dyDescent="0.4">
      <c r="A43" s="8" t="s">
        <v>45</v>
      </c>
      <c r="B43" s="14" t="s">
        <v>46</v>
      </c>
      <c r="C43" s="12">
        <v>3246</v>
      </c>
      <c r="D43" s="19">
        <f t="shared" si="0"/>
        <v>24.89419007310504</v>
      </c>
    </row>
    <row r="44" spans="1:4" ht="15.45" x14ac:dyDescent="0.4">
      <c r="A44" s="8" t="s">
        <v>47</v>
      </c>
      <c r="B44" s="14">
        <v>3200</v>
      </c>
      <c r="C44" s="12">
        <v>3104.5</v>
      </c>
      <c r="D44" s="19">
        <f t="shared" si="0"/>
        <v>-4.3592113370301906</v>
      </c>
    </row>
    <row r="45" spans="1:4" ht="15.45" x14ac:dyDescent="0.4">
      <c r="A45" s="8" t="s">
        <v>48</v>
      </c>
      <c r="B45" s="14">
        <v>3280</v>
      </c>
      <c r="C45" s="12">
        <v>2396.23</v>
      </c>
      <c r="D45" s="19">
        <f t="shared" si="0"/>
        <v>-22.814301819938798</v>
      </c>
    </row>
    <row r="46" spans="1:4" ht="15.45" x14ac:dyDescent="0.4">
      <c r="A46" s="8" t="s">
        <v>49</v>
      </c>
      <c r="B46" s="14">
        <v>3392</v>
      </c>
      <c r="C46" s="12">
        <v>2359.2109999999998</v>
      </c>
      <c r="D46" s="19">
        <f t="shared" si="0"/>
        <v>-1.544885090329402</v>
      </c>
    </row>
    <row r="47" spans="1:4" ht="15.45" x14ac:dyDescent="0.4">
      <c r="A47" s="8" t="s">
        <v>50</v>
      </c>
      <c r="B47" s="14">
        <v>3392</v>
      </c>
      <c r="C47" s="12">
        <v>2978.99</v>
      </c>
      <c r="D47" s="19">
        <f t="shared" si="0"/>
        <v>26.270604875952174</v>
      </c>
    </row>
    <row r="48" spans="1:4" ht="15.45" x14ac:dyDescent="0.4">
      <c r="A48" s="8" t="s">
        <v>51</v>
      </c>
      <c r="B48" s="14">
        <v>5600</v>
      </c>
      <c r="C48" s="12">
        <v>3048.0961538461538</v>
      </c>
      <c r="D48" s="19">
        <f t="shared" si="0"/>
        <v>2.3197846869628309</v>
      </c>
    </row>
    <row r="49" spans="1:4" ht="15.45" x14ac:dyDescent="0.4">
      <c r="A49" s="8" t="s">
        <v>52</v>
      </c>
      <c r="B49" s="14">
        <v>6800</v>
      </c>
      <c r="C49" s="12">
        <v>3092.5925000000002</v>
      </c>
      <c r="D49" s="19">
        <f t="shared" si="0"/>
        <v>1.4598078245563197</v>
      </c>
    </row>
    <row r="50" spans="1:4" ht="15.45" x14ac:dyDescent="0.4">
      <c r="A50" s="8" t="s">
        <v>53</v>
      </c>
      <c r="B50" s="14">
        <v>7600</v>
      </c>
      <c r="C50" s="12">
        <v>2142.1408333333334</v>
      </c>
      <c r="D50" s="19">
        <f t="shared" si="0"/>
        <v>-30.73316858482541</v>
      </c>
    </row>
    <row r="51" spans="1:4" ht="15.45" x14ac:dyDescent="0.4">
      <c r="A51" s="8" t="s">
        <v>54</v>
      </c>
      <c r="B51" s="14">
        <v>7600</v>
      </c>
      <c r="C51" s="12">
        <v>2261.7125000000001</v>
      </c>
      <c r="D51" s="19">
        <f t="shared" si="0"/>
        <v>5.5818770085533611</v>
      </c>
    </row>
    <row r="52" spans="1:4" ht="15.45" x14ac:dyDescent="0.4">
      <c r="A52" s="8" t="s">
        <v>55</v>
      </c>
      <c r="B52" s="14">
        <v>7600</v>
      </c>
      <c r="C52" s="12">
        <v>2268.0700000000002</v>
      </c>
      <c r="D52" s="19">
        <f t="shared" si="0"/>
        <v>0.28109231389931622</v>
      </c>
    </row>
    <row r="53" spans="1:4" ht="15.45" x14ac:dyDescent="0.4">
      <c r="A53" s="8" t="s">
        <v>56</v>
      </c>
      <c r="B53" s="14">
        <v>8240</v>
      </c>
      <c r="C53" s="12">
        <v>2367</v>
      </c>
      <c r="D53" s="19">
        <f t="shared" si="0"/>
        <v>4.3618583200694792</v>
      </c>
    </row>
    <row r="54" spans="1:4" ht="15.45" x14ac:dyDescent="0.4">
      <c r="A54" s="15" t="s">
        <v>57</v>
      </c>
      <c r="B54" s="16">
        <v>10560</v>
      </c>
      <c r="C54" s="17">
        <v>2427</v>
      </c>
      <c r="D54" s="19">
        <f t="shared" si="0"/>
        <v>2.5348542458808616</v>
      </c>
    </row>
    <row r="55" spans="1:4" ht="15.45" x14ac:dyDescent="0.4">
      <c r="A55" s="8" t="s">
        <v>58</v>
      </c>
      <c r="B55" s="14">
        <v>10560</v>
      </c>
      <c r="C55" s="12">
        <v>2392</v>
      </c>
      <c r="D55" s="19">
        <f t="shared" si="0"/>
        <v>-1.442109600329625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Bassanyin</dc:creator>
  <cp:lastModifiedBy>Michael Adu Okyere</cp:lastModifiedBy>
  <dcterms:created xsi:type="dcterms:W3CDTF">2026-09-02T11:42:21Z</dcterms:created>
  <dcterms:modified xsi:type="dcterms:W3CDTF">2026-09-05T07:54:25Z</dcterms:modified>
</cp:coreProperties>
</file>